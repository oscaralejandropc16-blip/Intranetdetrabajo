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nca\OneDrive\Desktop\SOL CARGO\NOMINA SOL CARGO\DOCUMENTACION\"/>
    </mc:Choice>
  </mc:AlternateContent>
  <xr:revisionPtr revIDLastSave="0" documentId="13_ncr:1_{5AE01E50-7CAB-4399-BBD7-BC93432C8FD1}" xr6:coauthVersionLast="47" xr6:coauthVersionMax="47" xr10:uidLastSave="{00000000-0000-0000-0000-000000000000}"/>
  <bookViews>
    <workbookView xWindow="-120" yWindow="-120" windowWidth="29040" windowHeight="15720" activeTab="1" xr2:uid="{5F0510A3-442E-405A-97B6-51F9FA4923EB}"/>
  </bookViews>
  <sheets>
    <sheet name="RECIBO VICTOR ROMAN" sheetId="1" r:id="rId1"/>
    <sheet name="RECIBO YUDITH ALEJANDRA" sheetId="3" r:id="rId2"/>
    <sheet name="BASE DE DATOS" sheetId="2" r:id="rId3"/>
  </sheets>
  <externalReferences>
    <externalReference r:id="rId4"/>
  </externalReferences>
  <definedNames>
    <definedName name="_xlnm.Print_Area" localSheetId="2">'BASE DE DATOS'!$A$1:$G$22</definedName>
    <definedName name="_xlnm.Print_Area" localSheetId="0">'RECIBO VICTOR ROMAN'!$B$2:$L$52</definedName>
    <definedName name="_xlnm.Print_Area" localSheetId="1">'RECIBO YUDITH ALEJANDRA'!$B$2:$L$52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3" l="1"/>
  <c r="J33" i="3" s="1"/>
  <c r="G7" i="3"/>
  <c r="K48" i="3"/>
  <c r="K44" i="3"/>
  <c r="I44" i="3"/>
  <c r="G44" i="3"/>
  <c r="K43" i="3"/>
  <c r="I43" i="3"/>
  <c r="G43" i="3"/>
  <c r="K42" i="3"/>
  <c r="I42" i="3"/>
  <c r="G42" i="3"/>
  <c r="K41" i="3"/>
  <c r="I41" i="3"/>
  <c r="G41" i="3"/>
  <c r="K40" i="3"/>
  <c r="I40" i="3"/>
  <c r="K39" i="3"/>
  <c r="I39" i="3"/>
  <c r="H39" i="3"/>
  <c r="G39" i="3"/>
  <c r="K38" i="3"/>
  <c r="I38" i="3"/>
  <c r="I48" i="3" s="1"/>
  <c r="K50" i="3" s="1"/>
  <c r="H38" i="3"/>
  <c r="G38" i="3"/>
  <c r="J35" i="3"/>
  <c r="G35" i="3"/>
  <c r="G34" i="3"/>
  <c r="D34" i="3"/>
  <c r="D33" i="3"/>
  <c r="L31" i="3"/>
  <c r="J31" i="3"/>
  <c r="K29" i="3"/>
  <c r="K22" i="3"/>
  <c r="I22" i="3"/>
  <c r="K24" i="3" s="1"/>
  <c r="G33" i="3"/>
  <c r="O2" i="3"/>
  <c r="G7" i="1"/>
  <c r="H7" i="2" l="1"/>
  <c r="F22" i="2"/>
  <c r="G21" i="2"/>
  <c r="D21" i="2"/>
  <c r="C20" i="2"/>
  <c r="D20" i="2" s="1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20" i="2" l="1"/>
  <c r="G22" i="2" s="1"/>
  <c r="O2" i="1" l="1"/>
  <c r="H39" i="1"/>
  <c r="H38" i="1"/>
  <c r="K44" i="1"/>
  <c r="K43" i="1"/>
  <c r="K42" i="1"/>
  <c r="K41" i="1"/>
  <c r="K40" i="1"/>
  <c r="K39" i="1"/>
  <c r="K38" i="1"/>
  <c r="I44" i="1"/>
  <c r="I43" i="1"/>
  <c r="I42" i="1"/>
  <c r="I41" i="1"/>
  <c r="I40" i="1"/>
  <c r="I39" i="1"/>
  <c r="I38" i="1"/>
  <c r="G44" i="1"/>
  <c r="G43" i="1"/>
  <c r="G42" i="1"/>
  <c r="G41" i="1"/>
  <c r="G39" i="1"/>
  <c r="G38" i="1"/>
  <c r="G35" i="1"/>
  <c r="G34" i="1"/>
  <c r="D34" i="1"/>
  <c r="L31" i="1"/>
  <c r="J31" i="1"/>
  <c r="K29" i="1"/>
  <c r="J35" i="1"/>
  <c r="J33" i="1"/>
  <c r="G33" i="1"/>
  <c r="D33" i="1"/>
  <c r="K22" i="1"/>
  <c r="I22" i="1"/>
  <c r="I48" i="1" l="1"/>
  <c r="K48" i="1"/>
  <c r="K50" i="1"/>
  <c r="K24" i="1"/>
</calcChain>
</file>

<file path=xl/sharedStrings.xml><?xml version="1.0" encoding="utf-8"?>
<sst xmlns="http://schemas.openxmlformats.org/spreadsheetml/2006/main" count="143" uniqueCount="55">
  <si>
    <t>J-50175917-0</t>
  </si>
  <si>
    <t>Cod. Trabajador</t>
  </si>
  <si>
    <t>Nombre Trabajador</t>
  </si>
  <si>
    <t>C.I. Trabajador</t>
  </si>
  <si>
    <t>Sueldo Básico</t>
  </si>
  <si>
    <t>Cargo</t>
  </si>
  <si>
    <t>Tipo de pago</t>
  </si>
  <si>
    <t>Banco</t>
  </si>
  <si>
    <t>RECIBO DE PAGO N°</t>
  </si>
  <si>
    <t>Nomina del</t>
  </si>
  <si>
    <t>Al</t>
  </si>
  <si>
    <t>CONCEPTO</t>
  </si>
  <si>
    <t>D/H/T</t>
  </si>
  <si>
    <t>DEVENGADO</t>
  </si>
  <si>
    <t>DEDUCCION</t>
  </si>
  <si>
    <t>Sueldo Quincenal</t>
  </si>
  <si>
    <t>Días de Descanso y Feriados</t>
  </si>
  <si>
    <t>Sueldo Variable</t>
  </si>
  <si>
    <t>Seguro Social Obligatorio</t>
  </si>
  <si>
    <t>Regimen Prestacional de Empleo</t>
  </si>
  <si>
    <t>Banavih</t>
  </si>
  <si>
    <t>Retención de I.S.L.R.</t>
  </si>
  <si>
    <t>TOTAES</t>
  </si>
  <si>
    <t>NETO A PAGAR</t>
  </si>
  <si>
    <t>C.I.</t>
  </si>
  <si>
    <t>Original</t>
  </si>
  <si>
    <t>Copia</t>
  </si>
  <si>
    <t>FIRMA Y HUELLA</t>
  </si>
  <si>
    <t>2 Lunes</t>
  </si>
  <si>
    <t>2.35%</t>
  </si>
  <si>
    <t>1.00%</t>
  </si>
  <si>
    <t>DIAS</t>
  </si>
  <si>
    <t>TASA EURO AL</t>
  </si>
  <si>
    <t>NOMBRE DEL TRABAJADOR</t>
  </si>
  <si>
    <t>SUELDO MENSUAL</t>
  </si>
  <si>
    <t>SUELDO DIARIO</t>
  </si>
  <si>
    <t>SUELDO POR HORA</t>
  </si>
  <si>
    <t>PRESTAMOS DEL MES</t>
  </si>
  <si>
    <t>TOTAL PAGADO</t>
  </si>
  <si>
    <t>VICTOR ROMAN</t>
  </si>
  <si>
    <t>LUIS DELAGO</t>
  </si>
  <si>
    <t>CARLOS ALMEIDA</t>
  </si>
  <si>
    <t>OLBERLYS HERNANDEZ</t>
  </si>
  <si>
    <t>ELIZABETH BREA</t>
  </si>
  <si>
    <t>SUSANA BRAZON</t>
  </si>
  <si>
    <t>CARMEN GONZALEZ</t>
  </si>
  <si>
    <t>GERMAN GOITE</t>
  </si>
  <si>
    <t>YOLLY GONZALEZ</t>
  </si>
  <si>
    <t>SIMON LINARES ESPINOZA</t>
  </si>
  <si>
    <t>ROBIN PEREZ</t>
  </si>
  <si>
    <t>TASA EURO</t>
  </si>
  <si>
    <t>BASE DE DATOS</t>
  </si>
  <si>
    <t>CEDULA</t>
  </si>
  <si>
    <t>Seguro Social Obligatorio (IVSS)</t>
  </si>
  <si>
    <t>YUDITH ALEJANDRA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</si>
</sst>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_ ;[Red]\-#,##0.00\ "/>
    <numFmt numFmtId="165" formatCode="_-[$$-409]* #,##0.00_ ;_-[$$-409]* \-#,##0.00\ ;_-[$$-409]* &quot;-&quot;??_ ;_-@_ 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8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6"/>
      <color rgb="FFFF0000"/>
      <name val="Calibri"/>
      <family val="2"/>
      <scheme val="minor"/>
    </font>
    <font>
      <b/>
      <i/>
      <sz val="6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1" fillId="0" borderId="0"/>
  </cellStyleXfs>
  <cellXfs count="69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4" fillId="0" borderId="14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7" fillId="0" borderId="0" xfId="0" applyFont="1" applyAlignment="1">
      <alignment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8" xfId="0" applyBorder="1"/>
    <xf numFmtId="165" fontId="0" fillId="0" borderId="18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0" fontId="0" fillId="0" borderId="21" xfId="0" applyBorder="1"/>
    <xf numFmtId="165" fontId="0" fillId="0" borderId="21" xfId="0" applyNumberFormat="1" applyBorder="1"/>
    <xf numFmtId="165" fontId="10" fillId="0" borderId="21" xfId="0" applyNumberFormat="1" applyFont="1" applyBorder="1"/>
    <xf numFmtId="165" fontId="10" fillId="0" borderId="22" xfId="0" applyNumberFormat="1" applyFont="1" applyBorder="1"/>
    <xf numFmtId="165" fontId="10" fillId="3" borderId="23" xfId="0" applyNumberFormat="1" applyFont="1" applyFill="1" applyBorder="1"/>
    <xf numFmtId="43" fontId="0" fillId="0" borderId="0" xfId="1" applyFont="1"/>
    <xf numFmtId="0" fontId="7" fillId="2" borderId="0" xfId="0" applyFont="1" applyFill="1" applyAlignment="1">
      <alignment vertical="center" wrapText="1"/>
    </xf>
    <xf numFmtId="0" fontId="8" fillId="0" borderId="3" xfId="0" applyFont="1" applyBorder="1" applyAlignment="1">
      <alignment vertical="center"/>
    </xf>
    <xf numFmtId="0" fontId="3" fillId="4" borderId="25" xfId="0" applyFont="1" applyFill="1" applyBorder="1" applyAlignment="1">
      <alignment horizontal="center" vertical="center" wrapText="1"/>
    </xf>
    <xf numFmtId="14" fontId="3" fillId="4" borderId="26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8" xfId="0" applyNumberFormat="1" applyBorder="1"/>
    <xf numFmtId="3" fontId="12" fillId="0" borderId="18" xfId="2" applyNumberFormat="1" applyFont="1" applyBorder="1" applyAlignment="1">
      <alignment horizontal="center" vertical="center"/>
    </xf>
    <xf numFmtId="4" fontId="1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4" fontId="1" fillId="3" borderId="24" xfId="0" applyNumberFormat="1" applyFont="1" applyFill="1" applyBorder="1" applyAlignment="1">
      <alignment horizontal="center" vertical="center" wrapText="1"/>
    </xf>
    <xf numFmtId="4" fontId="1" fillId="3" borderId="15" xfId="0" applyNumberFormat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3" xfId="2" xr:uid="{886D0475-8CA6-4EAD-9780-1ED9C9C86BC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-[$$-409]* #,##0.00_ ;_-[$$-409]* \-#,##0.00\ ;_-[$$-409]* &quot;-&quot;??_ ;_-@_ "/>
      <fill>
        <patternFill patternType="solid">
          <fgColor indexed="64"/>
          <bgColor theme="0" tint="-0.14999847407452621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>
        <left style="thin">
          <color auto="1"/>
        </left>
        <right/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auto="1"/>
        </left>
        <right/>
        <top/>
        <bottom/>
      </border>
    </dxf>
    <dxf>
      <numFmt numFmtId="165" formatCode="_-[$$-409]* #,##0.00_ ;_-[$$-409]* \-#,##0.00\ ;_-[$$-409]* &quot;-&quot;??_ ;_-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numFmt numFmtId="165" formatCode="_-[$$-409]* #,##0.00_ ;_-[$$-409]* \-#,##0.00\ ;_-[$$-409]* &quot;-&quot;??_ ;_-@_ 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65" formatCode="_-[$$-409]* #,##0.00_ ;_-[$$-409]* \-#,##0.00\ ;_-[$$-409]* &quot;-&quot;??_ ;_-@_ 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border>
        <top style="thin">
          <color rgb="FF000000"/>
        </top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</border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0000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3</xdr:col>
      <xdr:colOff>161925</xdr:colOff>
      <xdr:row>7</xdr:row>
      <xdr:rowOff>19049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4DBE21-9D50-71DE-5B48-4C03E9ABE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85725"/>
          <a:ext cx="1266825" cy="1266824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23</xdr:row>
      <xdr:rowOff>171450</xdr:rowOff>
    </xdr:from>
    <xdr:to>
      <xdr:col>5</xdr:col>
      <xdr:colOff>628650</xdr:colOff>
      <xdr:row>23</xdr:row>
      <xdr:rowOff>171450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1EF6544-D3B5-9510-1AE0-E11920D96112}"/>
            </a:ext>
          </a:extLst>
        </xdr:cNvPr>
        <xdr:cNvCxnSpPr/>
      </xdr:nvCxnSpPr>
      <xdr:spPr>
        <a:xfrm>
          <a:off x="2000250" y="4695825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25</xdr:row>
      <xdr:rowOff>0</xdr:rowOff>
    </xdr:from>
    <xdr:to>
      <xdr:col>5</xdr:col>
      <xdr:colOff>638175</xdr:colOff>
      <xdr:row>25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92EED75-9FEC-4CCC-8B91-C370CF9C8A74}"/>
            </a:ext>
          </a:extLst>
        </xdr:cNvPr>
        <xdr:cNvCxnSpPr/>
      </xdr:nvCxnSpPr>
      <xdr:spPr>
        <a:xfrm>
          <a:off x="1438275" y="4914900"/>
          <a:ext cx="26098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49</xdr:row>
      <xdr:rowOff>161925</xdr:rowOff>
    </xdr:from>
    <xdr:to>
      <xdr:col>5</xdr:col>
      <xdr:colOff>590550</xdr:colOff>
      <xdr:row>49</xdr:row>
      <xdr:rowOff>161925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72D0667-2627-482A-B70D-8DC0874005A4}"/>
            </a:ext>
          </a:extLst>
        </xdr:cNvPr>
        <xdr:cNvCxnSpPr/>
      </xdr:nvCxnSpPr>
      <xdr:spPr>
        <a:xfrm>
          <a:off x="1962150" y="9791700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50</xdr:row>
      <xdr:rowOff>180975</xdr:rowOff>
    </xdr:from>
    <xdr:to>
      <xdr:col>5</xdr:col>
      <xdr:colOff>600075</xdr:colOff>
      <xdr:row>50</xdr:row>
      <xdr:rowOff>180975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FACA855-59C0-454F-9E2B-3A66AEDDA2AC}"/>
            </a:ext>
          </a:extLst>
        </xdr:cNvPr>
        <xdr:cNvCxnSpPr/>
      </xdr:nvCxnSpPr>
      <xdr:spPr>
        <a:xfrm>
          <a:off x="1400175" y="10010775"/>
          <a:ext cx="26098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26</xdr:row>
      <xdr:rowOff>47625</xdr:rowOff>
    </xdr:from>
    <xdr:to>
      <xdr:col>3</xdr:col>
      <xdr:colOff>152400</xdr:colOff>
      <xdr:row>32</xdr:row>
      <xdr:rowOff>171449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6CC91A6-DD86-4824-81E4-2CA1F7428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5153025"/>
          <a:ext cx="1266825" cy="126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3</xdr:col>
      <xdr:colOff>161925</xdr:colOff>
      <xdr:row>7</xdr:row>
      <xdr:rowOff>19049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D62B1A-DAF2-4CD9-B54D-C111E4847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85725"/>
          <a:ext cx="1266825" cy="1266824"/>
        </a:xfrm>
        <a:prstGeom prst="rect">
          <a:avLst/>
        </a:prstGeom>
      </xdr:spPr>
    </xdr:pic>
    <xdr:clientData/>
  </xdr:twoCellAnchor>
  <xdr:twoCellAnchor>
    <xdr:from>
      <xdr:col>3</xdr:col>
      <xdr:colOff>114300</xdr:colOff>
      <xdr:row>23</xdr:row>
      <xdr:rowOff>171450</xdr:rowOff>
    </xdr:from>
    <xdr:to>
      <xdr:col>5</xdr:col>
      <xdr:colOff>628650</xdr:colOff>
      <xdr:row>23</xdr:row>
      <xdr:rowOff>171450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F016D5B-51E5-494F-8B60-DF5E2E75EF9A}"/>
            </a:ext>
          </a:extLst>
        </xdr:cNvPr>
        <xdr:cNvCxnSpPr/>
      </xdr:nvCxnSpPr>
      <xdr:spPr>
        <a:xfrm>
          <a:off x="1381125" y="4695825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542925</xdr:colOff>
      <xdr:row>25</xdr:row>
      <xdr:rowOff>0</xdr:rowOff>
    </xdr:from>
    <xdr:to>
      <xdr:col>5</xdr:col>
      <xdr:colOff>638175</xdr:colOff>
      <xdr:row>25</xdr:row>
      <xdr:rowOff>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9A72176-7EA3-469B-8AE5-9CF3F63541A8}"/>
            </a:ext>
          </a:extLst>
        </xdr:cNvPr>
        <xdr:cNvCxnSpPr/>
      </xdr:nvCxnSpPr>
      <xdr:spPr>
        <a:xfrm>
          <a:off x="819150" y="4914900"/>
          <a:ext cx="26098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49</xdr:row>
      <xdr:rowOff>161925</xdr:rowOff>
    </xdr:from>
    <xdr:to>
      <xdr:col>5</xdr:col>
      <xdr:colOff>590550</xdr:colOff>
      <xdr:row>49</xdr:row>
      <xdr:rowOff>161925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D093B05F-6F27-4C37-9188-23D015CD8633}"/>
            </a:ext>
          </a:extLst>
        </xdr:cNvPr>
        <xdr:cNvCxnSpPr/>
      </xdr:nvCxnSpPr>
      <xdr:spPr>
        <a:xfrm>
          <a:off x="1343025" y="9791700"/>
          <a:ext cx="20383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504825</xdr:colOff>
      <xdr:row>50</xdr:row>
      <xdr:rowOff>180975</xdr:rowOff>
    </xdr:from>
    <xdr:to>
      <xdr:col>5</xdr:col>
      <xdr:colOff>600075</xdr:colOff>
      <xdr:row>50</xdr:row>
      <xdr:rowOff>180975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A126D62-CCAD-490B-9731-4E076EF8F2CB}"/>
            </a:ext>
          </a:extLst>
        </xdr:cNvPr>
        <xdr:cNvCxnSpPr/>
      </xdr:nvCxnSpPr>
      <xdr:spPr>
        <a:xfrm>
          <a:off x="781050" y="10010775"/>
          <a:ext cx="2609850" cy="0"/>
        </a:xfrm>
        <a:prstGeom prst="line">
          <a:avLst/>
        </a:prstGeom>
        <a:ln w="222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</xdr:colOff>
      <xdr:row>26</xdr:row>
      <xdr:rowOff>47625</xdr:rowOff>
    </xdr:from>
    <xdr:to>
      <xdr:col>3</xdr:col>
      <xdr:colOff>152400</xdr:colOff>
      <xdr:row>32</xdr:row>
      <xdr:rowOff>171449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DC7D316-F2B7-4BE2-8CFC-CC0D9AD02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153025"/>
          <a:ext cx="1266825" cy="126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6724</xdr:rowOff>
    </xdr:from>
    <xdr:to>
      <xdr:col>0</xdr:col>
      <xdr:colOff>1535206</xdr:colOff>
      <xdr:row>7</xdr:row>
      <xdr:rowOff>152401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B4FE43-8A70-40DC-9309-9BBD29B3C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221" y="6724"/>
          <a:ext cx="1535206" cy="15363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nca\OneDrive\Desktop\SOL%20CARGO\NOMINA%20SOL%20CARGO\NOMINA%20SOL%20CAR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LARES NOMINA ENERO 2026"/>
      <sheetName val="DOLARES NOMINA 1 ERA FEB 26"/>
      <sheetName val="DOLARES NOMINA 2da FEB26"/>
      <sheetName val="DOLARES NOMINA 1era MARZ 26"/>
      <sheetName val="DOLARES NOMINA 2da MARZ 26"/>
      <sheetName val="DOLARES NOMINA 1Era Abri 26"/>
      <sheetName val="DOLARES NOMINA 2da Abri 26"/>
      <sheetName val="DOLARES NOMINA 1era Mayo 26"/>
      <sheetName val="DOLARES NOMINA 2da Mayo 26"/>
      <sheetName val="DOLARES NOMINA 1era Junio 26"/>
      <sheetName val="DOLARES NOMINA 2da Junio 2"/>
      <sheetName val="DOLARES NOMINA 1era Julio 26"/>
      <sheetName val="DOLARES NOMINA 2da Julio 26"/>
      <sheetName val="DOLARES NOMINA 1era Agosto 26"/>
      <sheetName val="DOLARES NOMINA 2da Agosto"/>
      <sheetName val="BOLIVARES NOMINA SOL CARGO"/>
      <sheetName val="BASE DE DATOS"/>
      <sheetName val="PRESTAMOS"/>
      <sheetName val="NOMINA SOL CARG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C4812-A604-42CE-8CA5-870B7D0BFAF4}" name="NOMINA567" displayName="NOMINA567" ref="A9:G22" totalsRowCount="1" headerRowDxfId="19" dataDxfId="17" totalsRowDxfId="15" headerRowBorderDxfId="18" tableBorderDxfId="16" totalsRowBorderDxfId="14">
  <autoFilter ref="A9:G21" xr:uid="{00000000-0009-0000-0100-000003000000}"/>
  <tableColumns count="7">
    <tableColumn id="4" xr3:uid="{E792DFB1-0888-42F2-B33C-8F2434C05E2F}" name="NOMBRE DEL TRABAJADOR" dataDxfId="13" totalsRowDxfId="12"/>
    <tableColumn id="1" xr3:uid="{9BA4447E-B9A1-411A-854B-9DCFD1209E93}" name="CEDULA" dataDxfId="11" totalsRowDxfId="10"/>
    <tableColumn id="6" xr3:uid="{3222DA6F-A586-4164-878C-A074C8BA92E8}" name="SUELDO MENSUAL" dataDxfId="9" totalsRowDxfId="8">
      <calculatedColumnFormula>IFERROR(VLOOKUP(A10,[1]!EMPLEADOS[#Data],5,FALSE),"NO EXISTE")</calculatedColumnFormula>
    </tableColumn>
    <tableColumn id="7" xr3:uid="{365475F3-5578-4BAA-935D-C0D80C4693C6}" name="SUELDO DIARIO" dataDxfId="7" totalsRowDxfId="6">
      <calculatedColumnFormula>+C10/30</calculatedColumnFormula>
    </tableColumn>
    <tableColumn id="8" xr3:uid="{89698D3A-AB09-4AFA-B8F7-7669A5B73B29}" name="SUELDO POR HORA" dataDxfId="5" totalsRowDxfId="4"/>
    <tableColumn id="10" xr3:uid="{AA926B6F-32B7-4E24-B7DE-1DDF8C0AADA3}" name="PRESTAMOS DEL MES" totalsRowFunction="sum" dataDxfId="3" totalsRowDxfId="2"/>
    <tableColumn id="9" xr3:uid="{5450F551-376A-4D04-80AA-C1E4D11A9C3D}" name="TOTAL PAGADO" totalsRowFunction="sum" dataDxfId="1" totalsRowDxfId="0">
      <calculatedColumnFormula>+(C10/2)-NOMINA567[[#This Row],[PRESTAMOS DEL MES]]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640C-19F5-4818-8E7E-2B1A0C72D5DB}">
  <dimension ref="B2:O52"/>
  <sheetViews>
    <sheetView showGridLines="0" topLeftCell="A13" workbookViewId="0">
      <selection activeCell="G7" sqref="G7:H7"/>
    </sheetView>
  </sheetViews>
  <sheetFormatPr baseColWidth="10" defaultRowHeight="15" x14ac:dyDescent="0.25"/>
  <cols>
    <col min="1" max="1" width="2.140625" customWidth="1"/>
    <col min="2" max="2" width="2" customWidth="1"/>
    <col min="3" max="3" width="14.85546875" customWidth="1"/>
    <col min="9" max="9" width="13.85546875" customWidth="1"/>
    <col min="14" max="14" width="13.7109375" customWidth="1"/>
  </cols>
  <sheetData>
    <row r="2" spans="2:15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6"/>
      <c r="N2" s="16" t="s">
        <v>32</v>
      </c>
      <c r="O2" s="18">
        <f ca="1">TODAY()</f>
        <v>46309</v>
      </c>
    </row>
    <row r="3" spans="2:15" x14ac:dyDescent="0.25">
      <c r="B3" s="7"/>
      <c r="I3" s="3" t="s">
        <v>8</v>
      </c>
      <c r="J3" s="3"/>
      <c r="K3" s="52"/>
      <c r="L3" s="53"/>
      <c r="N3" s="44">
        <v>499.61</v>
      </c>
      <c r="O3" s="44"/>
    </row>
    <row r="4" spans="2:15" x14ac:dyDescent="0.25">
      <c r="B4" s="7"/>
      <c r="I4" s="3"/>
      <c r="J4" s="3"/>
      <c r="K4" s="3"/>
      <c r="L4" s="8"/>
    </row>
    <row r="5" spans="2:15" x14ac:dyDescent="0.25">
      <c r="B5" s="7"/>
      <c r="I5" s="3" t="s">
        <v>9</v>
      </c>
      <c r="J5" s="37">
        <v>46082</v>
      </c>
      <c r="K5" s="3" t="s">
        <v>10</v>
      </c>
      <c r="L5" s="38">
        <v>46096</v>
      </c>
    </row>
    <row r="6" spans="2:15" x14ac:dyDescent="0.25">
      <c r="B6" s="7"/>
      <c r="C6" s="13" t="s">
        <v>0</v>
      </c>
      <c r="L6" s="8"/>
    </row>
    <row r="7" spans="2:15" x14ac:dyDescent="0.25">
      <c r="B7" s="7"/>
      <c r="C7" s="3" t="s">
        <v>1</v>
      </c>
      <c r="D7" s="3"/>
      <c r="E7" s="42" t="s">
        <v>2</v>
      </c>
      <c r="F7" s="42"/>
      <c r="G7" s="63" t="str">
        <f>+'BASE DE DATOS'!A10</f>
        <v>VICTOR ROMAN</v>
      </c>
      <c r="H7" s="63"/>
      <c r="I7" s="3" t="s">
        <v>3</v>
      </c>
      <c r="J7" s="43"/>
      <c r="K7" s="43"/>
      <c r="L7" s="8"/>
    </row>
    <row r="8" spans="2:15" x14ac:dyDescent="0.25">
      <c r="B8" s="7"/>
      <c r="C8" s="3" t="s">
        <v>4</v>
      </c>
      <c r="D8" s="40">
        <v>120000</v>
      </c>
      <c r="E8" s="42" t="s">
        <v>5</v>
      </c>
      <c r="F8" s="42"/>
      <c r="G8" s="3"/>
      <c r="H8" s="3"/>
      <c r="I8" s="3"/>
      <c r="L8" s="8"/>
    </row>
    <row r="9" spans="2:15" x14ac:dyDescent="0.25">
      <c r="B9" s="7"/>
      <c r="C9" s="3"/>
      <c r="D9" s="3"/>
      <c r="E9" s="42" t="s">
        <v>6</v>
      </c>
      <c r="F9" s="42"/>
      <c r="G9" s="3"/>
      <c r="H9" s="3"/>
      <c r="I9" s="3" t="s">
        <v>7</v>
      </c>
      <c r="J9" s="43"/>
      <c r="K9" s="43"/>
      <c r="L9" s="54"/>
    </row>
    <row r="10" spans="2:15" ht="15.75" thickBot="1" x14ac:dyDescent="0.3">
      <c r="B10" s="7"/>
      <c r="L10" s="8"/>
    </row>
    <row r="11" spans="2:15" ht="24.95" customHeight="1" thickBot="1" x14ac:dyDescent="0.3">
      <c r="B11" s="7"/>
      <c r="C11" s="2" t="s">
        <v>11</v>
      </c>
      <c r="D11" s="2"/>
      <c r="E11" s="2"/>
      <c r="F11" s="2"/>
      <c r="G11" s="48" t="s">
        <v>12</v>
      </c>
      <c r="H11" s="48"/>
      <c r="I11" s="48" t="s">
        <v>13</v>
      </c>
      <c r="J11" s="48"/>
      <c r="K11" s="48" t="s">
        <v>14</v>
      </c>
      <c r="L11" s="49"/>
    </row>
    <row r="12" spans="2:15" x14ac:dyDescent="0.25">
      <c r="B12" s="7"/>
      <c r="C12" s="43" t="s">
        <v>15</v>
      </c>
      <c r="D12" s="43"/>
      <c r="E12" s="43"/>
      <c r="F12" s="43"/>
      <c r="G12" s="15">
        <v>11</v>
      </c>
      <c r="H12" s="15" t="s">
        <v>31</v>
      </c>
      <c r="I12" s="51"/>
      <c r="J12" s="51"/>
      <c r="K12" s="51"/>
      <c r="L12" s="61"/>
    </row>
    <row r="13" spans="2:15" x14ac:dyDescent="0.25">
      <c r="B13" s="7"/>
      <c r="C13" s="43" t="s">
        <v>16</v>
      </c>
      <c r="D13" s="43"/>
      <c r="E13" s="43"/>
      <c r="F13" s="43"/>
      <c r="G13" s="16">
        <v>4</v>
      </c>
      <c r="H13" s="16" t="s">
        <v>31</v>
      </c>
      <c r="I13" s="50"/>
      <c r="J13" s="50"/>
      <c r="K13" s="50"/>
      <c r="L13" s="60"/>
    </row>
    <row r="14" spans="2:15" x14ac:dyDescent="0.25">
      <c r="B14" s="7"/>
      <c r="C14" s="43" t="s">
        <v>17</v>
      </c>
      <c r="D14" s="43"/>
      <c r="E14" s="43"/>
      <c r="F14" s="43"/>
      <c r="G14" s="44"/>
      <c r="H14" s="44"/>
      <c r="I14" s="50"/>
      <c r="J14" s="50"/>
      <c r="K14" s="50"/>
      <c r="L14" s="60"/>
    </row>
    <row r="15" spans="2:15" x14ac:dyDescent="0.25">
      <c r="B15" s="7"/>
      <c r="C15" s="43" t="s">
        <v>18</v>
      </c>
      <c r="D15" s="43"/>
      <c r="E15" s="43"/>
      <c r="F15" s="43"/>
      <c r="G15" s="44" t="s">
        <v>28</v>
      </c>
      <c r="H15" s="44"/>
      <c r="I15" s="50"/>
      <c r="J15" s="50"/>
      <c r="K15" s="50"/>
      <c r="L15" s="60"/>
    </row>
    <row r="16" spans="2:15" x14ac:dyDescent="0.25">
      <c r="B16" s="7"/>
      <c r="C16" s="43" t="s">
        <v>19</v>
      </c>
      <c r="D16" s="43"/>
      <c r="E16" s="43"/>
      <c r="F16" s="43"/>
      <c r="G16" s="44" t="s">
        <v>28</v>
      </c>
      <c r="H16" s="44"/>
      <c r="I16" s="50"/>
      <c r="J16" s="50"/>
      <c r="K16" s="50"/>
      <c r="L16" s="60"/>
    </row>
    <row r="17" spans="2:12" x14ac:dyDescent="0.25">
      <c r="B17" s="7"/>
      <c r="C17" s="43" t="s">
        <v>20</v>
      </c>
      <c r="D17" s="43"/>
      <c r="E17" s="43"/>
      <c r="F17" s="43"/>
      <c r="G17" s="62" t="s">
        <v>30</v>
      </c>
      <c r="H17" s="62"/>
      <c r="I17" s="50"/>
      <c r="J17" s="50"/>
      <c r="K17" s="50"/>
      <c r="L17" s="60"/>
    </row>
    <row r="18" spans="2:12" x14ac:dyDescent="0.25">
      <c r="B18" s="7"/>
      <c r="C18" s="43" t="s">
        <v>21</v>
      </c>
      <c r="D18" s="43"/>
      <c r="E18" s="43"/>
      <c r="F18" s="43"/>
      <c r="G18" s="44" t="s">
        <v>29</v>
      </c>
      <c r="H18" s="44"/>
      <c r="I18" s="50"/>
      <c r="J18" s="50"/>
      <c r="K18" s="50"/>
      <c r="L18" s="60"/>
    </row>
    <row r="19" spans="2:12" x14ac:dyDescent="0.25">
      <c r="B19" s="7"/>
      <c r="C19" s="43"/>
      <c r="D19" s="43"/>
      <c r="E19" s="43"/>
      <c r="F19" s="43"/>
      <c r="G19" s="44"/>
      <c r="H19" s="44"/>
      <c r="I19" s="50"/>
      <c r="J19" s="50"/>
      <c r="K19" s="50"/>
      <c r="L19" s="60"/>
    </row>
    <row r="20" spans="2:12" x14ac:dyDescent="0.25">
      <c r="B20" s="7"/>
      <c r="C20" s="43"/>
      <c r="D20" s="43"/>
      <c r="E20" s="43"/>
      <c r="F20" s="43"/>
      <c r="G20" s="44"/>
      <c r="H20" s="44"/>
      <c r="I20" s="50"/>
      <c r="J20" s="50"/>
      <c r="K20" s="50"/>
      <c r="L20" s="60"/>
    </row>
    <row r="21" spans="2:12" ht="15.75" thickBot="1" x14ac:dyDescent="0.3">
      <c r="B21" s="7"/>
      <c r="C21" s="43"/>
      <c r="D21" s="43"/>
      <c r="E21" s="43"/>
      <c r="F21" s="43"/>
      <c r="G21" s="44"/>
      <c r="H21" s="44"/>
      <c r="I21" s="50"/>
      <c r="J21" s="50"/>
      <c r="K21" s="55"/>
      <c r="L21" s="56"/>
    </row>
    <row r="22" spans="2:12" x14ac:dyDescent="0.25">
      <c r="B22" s="7"/>
      <c r="C22" s="1"/>
      <c r="D22" s="1"/>
      <c r="E22" s="1"/>
      <c r="F22" s="1"/>
      <c r="G22" s="57" t="s">
        <v>22</v>
      </c>
      <c r="H22" s="57"/>
      <c r="I22" s="58">
        <f>SUM(I12:J21)</f>
        <v>0</v>
      </c>
      <c r="J22" s="58"/>
      <c r="K22" s="58">
        <f>SUM(K12:L21)</f>
        <v>0</v>
      </c>
      <c r="L22" s="59"/>
    </row>
    <row r="23" spans="2:12" x14ac:dyDescent="0.25">
      <c r="B23" s="7"/>
      <c r="L23" s="8"/>
    </row>
    <row r="24" spans="2:12" ht="15.75" x14ac:dyDescent="0.25">
      <c r="B24" s="7"/>
      <c r="C24" s="3" t="s">
        <v>27</v>
      </c>
      <c r="I24" s="45" t="s">
        <v>23</v>
      </c>
      <c r="J24" s="45"/>
      <c r="K24" s="46">
        <f>+I22-K22</f>
        <v>0</v>
      </c>
      <c r="L24" s="47"/>
    </row>
    <row r="25" spans="2:12" x14ac:dyDescent="0.25">
      <c r="B25" s="7"/>
      <c r="C25" s="3" t="s">
        <v>24</v>
      </c>
      <c r="L25" s="8"/>
    </row>
    <row r="26" spans="2:12" x14ac:dyDescent="0.25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1" t="s">
        <v>25</v>
      </c>
    </row>
    <row r="27" spans="2:12" x14ac:dyDescent="0.25">
      <c r="B27" s="7"/>
      <c r="C27" s="5"/>
      <c r="D27" s="5"/>
      <c r="E27" s="5"/>
      <c r="F27" s="5"/>
      <c r="G27" s="5"/>
      <c r="H27" s="5"/>
      <c r="I27" s="5"/>
      <c r="J27" s="5"/>
      <c r="K27" s="5"/>
      <c r="L27" s="6"/>
    </row>
    <row r="28" spans="2:12" x14ac:dyDescent="0.25">
      <c r="B28" s="7"/>
      <c r="L28" s="8"/>
    </row>
    <row r="29" spans="2:12" x14ac:dyDescent="0.25">
      <c r="B29" s="7"/>
      <c r="I29" s="3" t="s">
        <v>8</v>
      </c>
      <c r="J29" s="3"/>
      <c r="K29" s="52">
        <f>+K3</f>
        <v>0</v>
      </c>
      <c r="L29" s="53"/>
    </row>
    <row r="30" spans="2:12" x14ac:dyDescent="0.25">
      <c r="B30" s="7"/>
      <c r="I30" s="3"/>
      <c r="J30" s="3"/>
      <c r="K30" s="3"/>
      <c r="L30" s="8"/>
    </row>
    <row r="31" spans="2:12" x14ac:dyDescent="0.25">
      <c r="B31" s="7"/>
      <c r="I31" s="3" t="s">
        <v>9</v>
      </c>
      <c r="J31" s="37">
        <f>+J5</f>
        <v>46082</v>
      </c>
      <c r="K31" s="3" t="s">
        <v>10</v>
      </c>
      <c r="L31" s="38">
        <f>+L5</f>
        <v>46096</v>
      </c>
    </row>
    <row r="32" spans="2:12" x14ac:dyDescent="0.25">
      <c r="B32" s="7"/>
      <c r="C32" s="14" t="s">
        <v>0</v>
      </c>
      <c r="L32" s="8"/>
    </row>
    <row r="33" spans="2:12" x14ac:dyDescent="0.25">
      <c r="B33" s="7"/>
      <c r="C33" s="3" t="s">
        <v>1</v>
      </c>
      <c r="D33" s="3">
        <f>+D7</f>
        <v>0</v>
      </c>
      <c r="E33" s="42" t="s">
        <v>2</v>
      </c>
      <c r="F33" s="42"/>
      <c r="G33" s="63" t="str">
        <f>+G7</f>
        <v>VICTOR ROMAN</v>
      </c>
      <c r="H33" s="63"/>
      <c r="I33" s="3" t="s">
        <v>3</v>
      </c>
      <c r="J33" s="43">
        <f>+J7</f>
        <v>0</v>
      </c>
      <c r="K33" s="43"/>
      <c r="L33" s="8"/>
    </row>
    <row r="34" spans="2:12" x14ac:dyDescent="0.25">
      <c r="B34" s="7"/>
      <c r="C34" s="3" t="s">
        <v>4</v>
      </c>
      <c r="D34" s="3">
        <f>+D8</f>
        <v>120000</v>
      </c>
      <c r="E34" s="42" t="s">
        <v>5</v>
      </c>
      <c r="F34" s="42"/>
      <c r="G34" s="3">
        <f>+G8</f>
        <v>0</v>
      </c>
      <c r="H34" s="3"/>
      <c r="I34" s="3"/>
      <c r="L34" s="8"/>
    </row>
    <row r="35" spans="2:12" x14ac:dyDescent="0.25">
      <c r="B35" s="7"/>
      <c r="C35" s="3"/>
      <c r="D35" s="3"/>
      <c r="E35" s="42" t="s">
        <v>6</v>
      </c>
      <c r="F35" s="42"/>
      <c r="G35" s="3">
        <f>+G9</f>
        <v>0</v>
      </c>
      <c r="H35" s="3"/>
      <c r="I35" s="3" t="s">
        <v>7</v>
      </c>
      <c r="J35" s="43">
        <f>+J9</f>
        <v>0</v>
      </c>
      <c r="K35" s="43"/>
      <c r="L35" s="54"/>
    </row>
    <row r="36" spans="2:12" ht="15.75" thickBot="1" x14ac:dyDescent="0.3">
      <c r="B36" s="7"/>
      <c r="L36" s="8"/>
    </row>
    <row r="37" spans="2:12" ht="24.95" customHeight="1" thickBot="1" x14ac:dyDescent="0.3">
      <c r="B37" s="7"/>
      <c r="C37" s="2" t="s">
        <v>11</v>
      </c>
      <c r="D37" s="2"/>
      <c r="E37" s="2"/>
      <c r="F37" s="2"/>
      <c r="G37" s="48" t="s">
        <v>12</v>
      </c>
      <c r="H37" s="48"/>
      <c r="I37" s="48" t="s">
        <v>13</v>
      </c>
      <c r="J37" s="48"/>
      <c r="K37" s="48" t="s">
        <v>14</v>
      </c>
      <c r="L37" s="49"/>
    </row>
    <row r="38" spans="2:12" x14ac:dyDescent="0.25">
      <c r="B38" s="7"/>
      <c r="C38" s="43" t="s">
        <v>15</v>
      </c>
      <c r="D38" s="43"/>
      <c r="E38" s="43"/>
      <c r="F38" s="43"/>
      <c r="G38" s="15">
        <f>+G12</f>
        <v>11</v>
      </c>
      <c r="H38" s="15" t="str">
        <f>+H12</f>
        <v>DIAS</v>
      </c>
      <c r="I38" s="51">
        <f>+I12</f>
        <v>0</v>
      </c>
      <c r="J38" s="51"/>
      <c r="K38" s="51">
        <f>+K12</f>
        <v>0</v>
      </c>
      <c r="L38" s="61"/>
    </row>
    <row r="39" spans="2:12" x14ac:dyDescent="0.25">
      <c r="B39" s="7"/>
      <c r="C39" s="43" t="s">
        <v>16</v>
      </c>
      <c r="D39" s="43"/>
      <c r="E39" s="43"/>
      <c r="F39" s="43"/>
      <c r="G39" s="17">
        <f>+G13</f>
        <v>4</v>
      </c>
      <c r="H39" s="16" t="str">
        <f>+H13</f>
        <v>DIAS</v>
      </c>
      <c r="I39" s="50">
        <f t="shared" ref="I39:I44" si="0">+I13</f>
        <v>0</v>
      </c>
      <c r="J39" s="50"/>
      <c r="K39" s="50">
        <f>+K13</f>
        <v>0</v>
      </c>
      <c r="L39" s="60"/>
    </row>
    <row r="40" spans="2:12" x14ac:dyDescent="0.25">
      <c r="B40" s="7"/>
      <c r="C40" s="43" t="s">
        <v>17</v>
      </c>
      <c r="D40" s="43"/>
      <c r="E40" s="43"/>
      <c r="F40" s="43"/>
      <c r="G40" s="16"/>
      <c r="H40" s="16"/>
      <c r="I40" s="50">
        <f t="shared" si="0"/>
        <v>0</v>
      </c>
      <c r="J40" s="50"/>
      <c r="K40" s="50">
        <f t="shared" ref="K40:K44" si="1">+K14</f>
        <v>0</v>
      </c>
      <c r="L40" s="60"/>
    </row>
    <row r="41" spans="2:12" x14ac:dyDescent="0.25">
      <c r="B41" s="7"/>
      <c r="C41" s="43" t="s">
        <v>53</v>
      </c>
      <c r="D41" s="43"/>
      <c r="E41" s="43"/>
      <c r="F41" s="43"/>
      <c r="G41" s="44" t="str">
        <f>+G15</f>
        <v>2 Lunes</v>
      </c>
      <c r="H41" s="44"/>
      <c r="I41" s="50">
        <f t="shared" si="0"/>
        <v>0</v>
      </c>
      <c r="J41" s="50"/>
      <c r="K41" s="50">
        <f t="shared" si="1"/>
        <v>0</v>
      </c>
      <c r="L41" s="60"/>
    </row>
    <row r="42" spans="2:12" x14ac:dyDescent="0.25">
      <c r="B42" s="7"/>
      <c r="C42" s="43" t="s">
        <v>19</v>
      </c>
      <c r="D42" s="43"/>
      <c r="E42" s="43"/>
      <c r="F42" s="43"/>
      <c r="G42" s="44" t="str">
        <f>+G16</f>
        <v>2 Lunes</v>
      </c>
      <c r="H42" s="44"/>
      <c r="I42" s="50">
        <f t="shared" si="0"/>
        <v>0</v>
      </c>
      <c r="J42" s="50"/>
      <c r="K42" s="50">
        <f t="shared" si="1"/>
        <v>0</v>
      </c>
      <c r="L42" s="60"/>
    </row>
    <row r="43" spans="2:12" x14ac:dyDescent="0.25">
      <c r="B43" s="7"/>
      <c r="C43" s="43" t="s">
        <v>20</v>
      </c>
      <c r="D43" s="43"/>
      <c r="E43" s="43"/>
      <c r="F43" s="43"/>
      <c r="G43" s="44" t="str">
        <f>+G17</f>
        <v>1.00%</v>
      </c>
      <c r="H43" s="44"/>
      <c r="I43" s="50">
        <f t="shared" si="0"/>
        <v>0</v>
      </c>
      <c r="J43" s="50"/>
      <c r="K43" s="50">
        <f t="shared" si="1"/>
        <v>0</v>
      </c>
      <c r="L43" s="60"/>
    </row>
    <row r="44" spans="2:12" x14ac:dyDescent="0.25">
      <c r="B44" s="7"/>
      <c r="C44" s="43" t="s">
        <v>21</v>
      </c>
      <c r="D44" s="43"/>
      <c r="E44" s="43"/>
      <c r="F44" s="43"/>
      <c r="G44" s="44" t="str">
        <f>+G18</f>
        <v>2.35%</v>
      </c>
      <c r="H44" s="44"/>
      <c r="I44" s="50">
        <f t="shared" si="0"/>
        <v>0</v>
      </c>
      <c r="J44" s="50"/>
      <c r="K44" s="50">
        <f t="shared" si="1"/>
        <v>0</v>
      </c>
      <c r="L44" s="60"/>
    </row>
    <row r="45" spans="2:12" x14ac:dyDescent="0.25">
      <c r="B45" s="7"/>
      <c r="C45" s="43"/>
      <c r="D45" s="43"/>
      <c r="E45" s="43"/>
      <c r="F45" s="43"/>
      <c r="G45" s="44"/>
      <c r="H45" s="44"/>
      <c r="I45" s="50"/>
      <c r="J45" s="50"/>
      <c r="K45" s="50"/>
      <c r="L45" s="60"/>
    </row>
    <row r="46" spans="2:12" x14ac:dyDescent="0.25">
      <c r="B46" s="7"/>
      <c r="C46" s="43"/>
      <c r="D46" s="43"/>
      <c r="E46" s="43"/>
      <c r="F46" s="43"/>
      <c r="G46" s="44"/>
      <c r="H46" s="44"/>
      <c r="I46" s="50"/>
      <c r="J46" s="50"/>
      <c r="K46" s="50"/>
      <c r="L46" s="60"/>
    </row>
    <row r="47" spans="2:12" ht="15.75" thickBot="1" x14ac:dyDescent="0.3">
      <c r="B47" s="7"/>
      <c r="C47" s="43"/>
      <c r="D47" s="43"/>
      <c r="E47" s="43"/>
      <c r="F47" s="43"/>
      <c r="G47" s="44"/>
      <c r="H47" s="44"/>
      <c r="I47" s="50"/>
      <c r="J47" s="50"/>
      <c r="K47" s="55"/>
      <c r="L47" s="56"/>
    </row>
    <row r="48" spans="2:12" x14ac:dyDescent="0.25">
      <c r="B48" s="7"/>
      <c r="C48" s="1"/>
      <c r="D48" s="1"/>
      <c r="E48" s="1"/>
      <c r="F48" s="1"/>
      <c r="G48" s="57" t="s">
        <v>22</v>
      </c>
      <c r="H48" s="57"/>
      <c r="I48" s="58">
        <f>SUM(I38:J47)</f>
        <v>0</v>
      </c>
      <c r="J48" s="58"/>
      <c r="K48" s="58">
        <f>SUM(K38:L47)</f>
        <v>0</v>
      </c>
      <c r="L48" s="59"/>
    </row>
    <row r="49" spans="2:12" x14ac:dyDescent="0.25">
      <c r="B49" s="7"/>
      <c r="L49" s="8"/>
    </row>
    <row r="50" spans="2:12" ht="15.75" x14ac:dyDescent="0.25">
      <c r="B50" s="7"/>
      <c r="C50" s="3" t="s">
        <v>27</v>
      </c>
      <c r="I50" s="45" t="s">
        <v>23</v>
      </c>
      <c r="J50" s="45"/>
      <c r="K50" s="46">
        <f>+I48-K48</f>
        <v>0</v>
      </c>
      <c r="L50" s="47"/>
    </row>
    <row r="51" spans="2:12" x14ac:dyDescent="0.25">
      <c r="B51" s="7"/>
      <c r="C51" s="3" t="s">
        <v>24</v>
      </c>
      <c r="L51" s="8"/>
    </row>
    <row r="52" spans="2:12" x14ac:dyDescent="0.25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2" t="s">
        <v>26</v>
      </c>
    </row>
  </sheetData>
  <mergeCells count="106">
    <mergeCell ref="N3:O3"/>
    <mergeCell ref="I50:J50"/>
    <mergeCell ref="K50:L50"/>
    <mergeCell ref="G7:H7"/>
    <mergeCell ref="G33:H33"/>
    <mergeCell ref="J7:K7"/>
    <mergeCell ref="J33:K33"/>
    <mergeCell ref="C47:F47"/>
    <mergeCell ref="G47:H47"/>
    <mergeCell ref="I47:J47"/>
    <mergeCell ref="K47:L47"/>
    <mergeCell ref="G48:H48"/>
    <mergeCell ref="I48:J48"/>
    <mergeCell ref="K48:L48"/>
    <mergeCell ref="C45:F45"/>
    <mergeCell ref="G45:H45"/>
    <mergeCell ref="I45:J45"/>
    <mergeCell ref="K45:L45"/>
    <mergeCell ref="C46:F46"/>
    <mergeCell ref="G46:H46"/>
    <mergeCell ref="I46:J46"/>
    <mergeCell ref="K46:L46"/>
    <mergeCell ref="C43:F43"/>
    <mergeCell ref="G43:H43"/>
    <mergeCell ref="I43:J43"/>
    <mergeCell ref="K43:L43"/>
    <mergeCell ref="C44:F44"/>
    <mergeCell ref="G44:H44"/>
    <mergeCell ref="I44:J44"/>
    <mergeCell ref="K44:L44"/>
    <mergeCell ref="C41:F41"/>
    <mergeCell ref="G41:H41"/>
    <mergeCell ref="I41:J41"/>
    <mergeCell ref="K41:L41"/>
    <mergeCell ref="C42:F42"/>
    <mergeCell ref="G42:H42"/>
    <mergeCell ref="I42:J42"/>
    <mergeCell ref="K42:L42"/>
    <mergeCell ref="C39:F39"/>
    <mergeCell ref="I39:J39"/>
    <mergeCell ref="K39:L39"/>
    <mergeCell ref="C40:F40"/>
    <mergeCell ref="I40:J40"/>
    <mergeCell ref="K40:L40"/>
    <mergeCell ref="G37:H37"/>
    <mergeCell ref="I37:J37"/>
    <mergeCell ref="K37:L37"/>
    <mergeCell ref="C38:F38"/>
    <mergeCell ref="I38:J38"/>
    <mergeCell ref="K38:L38"/>
    <mergeCell ref="K29:L29"/>
    <mergeCell ref="E33:F33"/>
    <mergeCell ref="E34:F34"/>
    <mergeCell ref="E35:F35"/>
    <mergeCell ref="J35:L35"/>
    <mergeCell ref="K21:L21"/>
    <mergeCell ref="K3:L3"/>
    <mergeCell ref="J9:L9"/>
    <mergeCell ref="G22:H22"/>
    <mergeCell ref="I22:J22"/>
    <mergeCell ref="K22:L22"/>
    <mergeCell ref="K19:L19"/>
    <mergeCell ref="K20:L20"/>
    <mergeCell ref="I20:J20"/>
    <mergeCell ref="I21:J21"/>
    <mergeCell ref="K12:L12"/>
    <mergeCell ref="K13:L13"/>
    <mergeCell ref="K14:L14"/>
    <mergeCell ref="K15:L15"/>
    <mergeCell ref="K16:L16"/>
    <mergeCell ref="K17:L17"/>
    <mergeCell ref="K18:L18"/>
    <mergeCell ref="I14:J14"/>
    <mergeCell ref="G17:H17"/>
    <mergeCell ref="G18:H18"/>
    <mergeCell ref="G19:H19"/>
    <mergeCell ref="I24:J24"/>
    <mergeCell ref="C20:F20"/>
    <mergeCell ref="C21:F21"/>
    <mergeCell ref="G20:H20"/>
    <mergeCell ref="G21:H21"/>
    <mergeCell ref="K24:L24"/>
    <mergeCell ref="I11:J11"/>
    <mergeCell ref="K11:L11"/>
    <mergeCell ref="G11:H11"/>
    <mergeCell ref="G14:H14"/>
    <mergeCell ref="I17:J17"/>
    <mergeCell ref="I18:J18"/>
    <mergeCell ref="I19:J19"/>
    <mergeCell ref="I12:J12"/>
    <mergeCell ref="I13:J13"/>
    <mergeCell ref="I15:J15"/>
    <mergeCell ref="I16:J16"/>
    <mergeCell ref="G15:H15"/>
    <mergeCell ref="G16:H16"/>
    <mergeCell ref="E7:F7"/>
    <mergeCell ref="E8:F8"/>
    <mergeCell ref="E9:F9"/>
    <mergeCell ref="C19:F19"/>
    <mergeCell ref="C12:F12"/>
    <mergeCell ref="C18:F18"/>
    <mergeCell ref="C17:F17"/>
    <mergeCell ref="C16:F16"/>
    <mergeCell ref="C15:F15"/>
    <mergeCell ref="C14:F14"/>
    <mergeCell ref="C13:F13"/>
  </mergeCells>
  <printOptions horizontalCentered="1" verticalCentered="1"/>
  <pageMargins left="0.19685039370078741" right="0.15748031496062992" top="0.19685039370078741" bottom="0.19685039370078741" header="0.15748031496062992" footer="0.15748031496062992"/>
  <pageSetup scale="75" orientation="landscape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3AB5-BF63-4BC0-B8CA-C96FBB1008BD}">
  <dimension ref="B2:O52"/>
  <sheetViews>
    <sheetView showGridLines="0" tabSelected="1" workbookViewId="0">
      <selection activeCell="C12" sqref="C12:F12"/>
    </sheetView>
  </sheetViews>
  <sheetFormatPr baseColWidth="10" defaultRowHeight="15" x14ac:dyDescent="0.25"/>
  <cols>
    <col min="1" max="1" width="2.140625" customWidth="1"/>
    <col min="2" max="2" width="2" customWidth="1"/>
    <col min="3" max="3" width="14.85546875" customWidth="1"/>
    <col min="9" max="9" width="13.85546875" customWidth="1"/>
    <col min="14" max="14" width="13.7109375" customWidth="1"/>
  </cols>
  <sheetData>
    <row r="2" spans="2:15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6"/>
      <c r="N2" s="16" t="s">
        <v>32</v>
      </c>
      <c r="O2" s="18">
        <f ca="1">TODAY()</f>
        <v>46309</v>
      </c>
    </row>
    <row r="3" spans="2:15" x14ac:dyDescent="0.25">
      <c r="B3" s="7"/>
      <c r="I3" s="3" t="s">
        <v>8</v>
      </c>
      <c r="J3" s="3"/>
      <c r="K3" s="52"/>
      <c r="L3" s="53"/>
      <c r="N3" s="44">
        <v>499.61</v>
      </c>
      <c r="O3" s="44"/>
    </row>
    <row r="4" spans="2:15" x14ac:dyDescent="0.25">
      <c r="B4" s="7"/>
      <c r="I4" s="3"/>
      <c r="J4" s="3"/>
      <c r="K4" s="3"/>
      <c r="L4" s="8"/>
    </row>
    <row r="5" spans="2:15" x14ac:dyDescent="0.25">
      <c r="B5" s="7"/>
      <c r="I5" s="3" t="s">
        <v>9</v>
      </c>
      <c r="J5" s="37">
        <v>46082</v>
      </c>
      <c r="K5" s="3" t="s">
        <v>10</v>
      </c>
      <c r="L5" s="38">
        <v>46096</v>
      </c>
    </row>
    <row r="6" spans="2:15" x14ac:dyDescent="0.25">
      <c r="B6" s="7"/>
      <c r="C6" s="13" t="s">
        <v>0</v>
      </c>
      <c r="L6" s="8"/>
    </row>
    <row r="7" spans="2:15" x14ac:dyDescent="0.25">
      <c r="B7" s="7"/>
      <c r="C7" s="3" t="s">
        <v>1</v>
      </c>
      <c r="D7" s="3"/>
      <c r="E7" s="42" t="s">
        <v>2</v>
      </c>
      <c r="F7" s="42"/>
      <c r="G7" s="63" t="str">
        <f>+'BASE DE DATOS'!A15</f>
        <v>YUDITH ALEJANDRA ROMERO</v>
      </c>
      <c r="H7" s="63"/>
      <c r="I7" s="3" t="s">
        <v>3</v>
      </c>
      <c r="J7" s="64">
        <f>+'BASE DE DATOS'!B15</f>
        <v>20665919</v>
      </c>
      <c r="K7" s="43"/>
      <c r="L7" s="8"/>
    </row>
    <row r="8" spans="2:15" x14ac:dyDescent="0.25">
      <c r="B8" s="7"/>
      <c r="C8" s="3" t="s">
        <v>4</v>
      </c>
      <c r="D8" s="40">
        <v>120000</v>
      </c>
      <c r="E8" s="42" t="s">
        <v>5</v>
      </c>
      <c r="F8" s="42"/>
      <c r="G8" s="3"/>
      <c r="H8" s="3"/>
      <c r="I8" s="3"/>
      <c r="L8" s="8"/>
    </row>
    <row r="9" spans="2:15" x14ac:dyDescent="0.25">
      <c r="B9" s="7"/>
      <c r="C9" s="3"/>
      <c r="D9" s="3"/>
      <c r="E9" s="42" t="s">
        <v>6</v>
      </c>
      <c r="F9" s="42"/>
      <c r="G9" s="3"/>
      <c r="H9" s="3"/>
      <c r="I9" s="3" t="s">
        <v>7</v>
      </c>
      <c r="J9" s="43"/>
      <c r="K9" s="43"/>
      <c r="L9" s="54"/>
    </row>
    <row r="10" spans="2:15" ht="15.75" thickBot="1" x14ac:dyDescent="0.3">
      <c r="B10" s="7"/>
      <c r="L10" s="8"/>
    </row>
    <row r="11" spans="2:15" ht="24.95" customHeight="1" thickBot="1" x14ac:dyDescent="0.3">
      <c r="B11" s="7"/>
      <c r="C11" s="41" t="s">
        <v>11</v>
      </c>
      <c r="D11" s="41"/>
      <c r="E11" s="41"/>
      <c r="F11" s="41"/>
      <c r="G11" s="48" t="s">
        <v>12</v>
      </c>
      <c r="H11" s="48"/>
      <c r="I11" s="48" t="s">
        <v>13</v>
      </c>
      <c r="J11" s="48"/>
      <c r="K11" s="48" t="s">
        <v>14</v>
      </c>
      <c r="L11" s="49"/>
    </row>
    <row r="12" spans="2:15" x14ac:dyDescent="0.25">
      <c r="B12" s="7"/>
      <c r="C12" s="43" t="s">
        <v>15</v>
      </c>
      <c r="D12" s="43"/>
      <c r="E12" s="43"/>
      <c r="F12" s="43"/>
      <c r="G12" s="15">
        <v>11</v>
      </c>
      <c r="H12" s="15" t="s">
        <v>31</v>
      </c>
      <c r="I12" s="51"/>
      <c r="J12" s="51"/>
      <c r="K12" s="51"/>
      <c r="L12" s="61"/>
    </row>
    <row r="13" spans="2:15" x14ac:dyDescent="0.25">
      <c r="B13" s="7"/>
      <c r="C13" s="43" t="s">
        <v>16</v>
      </c>
      <c r="D13" s="43"/>
      <c r="E13" s="43"/>
      <c r="F13" s="43"/>
      <c r="G13" s="16">
        <v>4</v>
      </c>
      <c r="H13" s="16" t="s">
        <v>31</v>
      </c>
      <c r="I13" s="50"/>
      <c r="J13" s="50"/>
      <c r="K13" s="50"/>
      <c r="L13" s="60"/>
    </row>
    <row r="14" spans="2:15" x14ac:dyDescent="0.25">
      <c r="B14" s="7"/>
      <c r="C14" s="43" t="s">
        <v>17</v>
      </c>
      <c r="D14" s="43"/>
      <c r="E14" s="43"/>
      <c r="F14" s="43"/>
      <c r="G14" s="44"/>
      <c r="H14" s="44"/>
      <c r="I14" s="50"/>
      <c r="J14" s="50"/>
      <c r="K14" s="50"/>
      <c r="L14" s="60"/>
    </row>
    <row r="15" spans="2:15" x14ac:dyDescent="0.25">
      <c r="B15" s="7"/>
      <c r="C15" s="43" t="s">
        <v>18</v>
      </c>
      <c r="D15" s="43"/>
      <c r="E15" s="43"/>
      <c r="F15" s="43"/>
      <c r="G15" s="44" t="s">
        <v>28</v>
      </c>
      <c r="H15" s="44"/>
      <c r="I15" s="50"/>
      <c r="J15" s="50"/>
      <c r="K15" s="50"/>
      <c r="L15" s="60"/>
    </row>
    <row r="16" spans="2:15" x14ac:dyDescent="0.25">
      <c r="B16" s="7"/>
      <c r="C16" s="43" t="s">
        <v>19</v>
      </c>
      <c r="D16" s="43"/>
      <c r="E16" s="43"/>
      <c r="F16" s="43"/>
      <c r="G16" s="44" t="s">
        <v>28</v>
      </c>
      <c r="H16" s="44"/>
      <c r="I16" s="50"/>
      <c r="J16" s="50"/>
      <c r="K16" s="50"/>
      <c r="L16" s="60"/>
    </row>
    <row r="17" spans="2:12" x14ac:dyDescent="0.25">
      <c r="B17" s="7"/>
      <c r="C17" s="43" t="s">
        <v>20</v>
      </c>
      <c r="D17" s="43"/>
      <c r="E17" s="43"/>
      <c r="F17" s="43"/>
      <c r="G17" s="62" t="s">
        <v>30</v>
      </c>
      <c r="H17" s="62"/>
      <c r="I17" s="50"/>
      <c r="J17" s="50"/>
      <c r="K17" s="50"/>
      <c r="L17" s="60"/>
    </row>
    <row r="18" spans="2:12" x14ac:dyDescent="0.25">
      <c r="B18" s="7"/>
      <c r="C18" s="43" t="s">
        <v>21</v>
      </c>
      <c r="D18" s="43"/>
      <c r="E18" s="43"/>
      <c r="F18" s="43"/>
      <c r="G18" s="44" t="s">
        <v>29</v>
      </c>
      <c r="H18" s="44"/>
      <c r="I18" s="50"/>
      <c r="J18" s="50"/>
      <c r="K18" s="50"/>
      <c r="L18" s="60"/>
    </row>
    <row r="19" spans="2:12" x14ac:dyDescent="0.25">
      <c r="B19" s="7"/>
      <c r="C19" s="43"/>
      <c r="D19" s="43"/>
      <c r="E19" s="43"/>
      <c r="F19" s="43"/>
      <c r="G19" s="44"/>
      <c r="H19" s="44"/>
      <c r="I19" s="50"/>
      <c r="J19" s="50"/>
      <c r="K19" s="50"/>
      <c r="L19" s="60"/>
    </row>
    <row r="20" spans="2:12" x14ac:dyDescent="0.25">
      <c r="B20" s="7"/>
      <c r="C20" s="43"/>
      <c r="D20" s="43"/>
      <c r="E20" s="43"/>
      <c r="F20" s="43"/>
      <c r="G20" s="44"/>
      <c r="H20" s="44"/>
      <c r="I20" s="50"/>
      <c r="J20" s="50"/>
      <c r="K20" s="50"/>
      <c r="L20" s="60"/>
    </row>
    <row r="21" spans="2:12" ht="15.75" thickBot="1" x14ac:dyDescent="0.3">
      <c r="B21" s="7"/>
      <c r="C21" s="43"/>
      <c r="D21" s="43"/>
      <c r="E21" s="43"/>
      <c r="F21" s="43"/>
      <c r="G21" s="44"/>
      <c r="H21" s="44"/>
      <c r="I21" s="50"/>
      <c r="J21" s="50"/>
      <c r="K21" s="55"/>
      <c r="L21" s="56"/>
    </row>
    <row r="22" spans="2:12" x14ac:dyDescent="0.25">
      <c r="B22" s="7"/>
      <c r="C22" s="1"/>
      <c r="D22" s="1"/>
      <c r="E22" s="1"/>
      <c r="F22" s="1"/>
      <c r="G22" s="57" t="s">
        <v>22</v>
      </c>
      <c r="H22" s="57"/>
      <c r="I22" s="58">
        <f>SUM(I12:J21)</f>
        <v>0</v>
      </c>
      <c r="J22" s="58"/>
      <c r="K22" s="58">
        <f>SUM(K12:L21)</f>
        <v>0</v>
      </c>
      <c r="L22" s="59"/>
    </row>
    <row r="23" spans="2:12" x14ac:dyDescent="0.25">
      <c r="B23" s="7"/>
      <c r="L23" s="8"/>
    </row>
    <row r="24" spans="2:12" ht="15.75" x14ac:dyDescent="0.25">
      <c r="B24" s="7"/>
      <c r="C24" s="3" t="s">
        <v>27</v>
      </c>
      <c r="I24" s="45" t="s">
        <v>23</v>
      </c>
      <c r="J24" s="45"/>
      <c r="K24" s="46">
        <f>+I22-K22</f>
        <v>0</v>
      </c>
      <c r="L24" s="47"/>
    </row>
    <row r="25" spans="2:12" x14ac:dyDescent="0.25">
      <c r="B25" s="7"/>
      <c r="C25" s="3" t="s">
        <v>24</v>
      </c>
      <c r="L25" s="8"/>
    </row>
    <row r="26" spans="2:12" x14ac:dyDescent="0.25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1" t="s">
        <v>25</v>
      </c>
    </row>
    <row r="27" spans="2:12" x14ac:dyDescent="0.25">
      <c r="B27" s="7"/>
      <c r="C27" s="5"/>
      <c r="D27" s="5"/>
      <c r="E27" s="5"/>
      <c r="F27" s="5"/>
      <c r="G27" s="5"/>
      <c r="H27" s="5"/>
      <c r="I27" s="5"/>
      <c r="J27" s="5"/>
      <c r="K27" s="5"/>
      <c r="L27" s="6"/>
    </row>
    <row r="28" spans="2:12" x14ac:dyDescent="0.25">
      <c r="B28" s="7"/>
      <c r="L28" s="8"/>
    </row>
    <row r="29" spans="2:12" x14ac:dyDescent="0.25">
      <c r="B29" s="7"/>
      <c r="I29" s="3" t="s">
        <v>8</v>
      </c>
      <c r="J29" s="3"/>
      <c r="K29" s="52">
        <f>+K3</f>
        <v>0</v>
      </c>
      <c r="L29" s="53"/>
    </row>
    <row r="30" spans="2:12" x14ac:dyDescent="0.25">
      <c r="B30" s="7"/>
      <c r="I30" s="3"/>
      <c r="J30" s="3"/>
      <c r="K30" s="3"/>
      <c r="L30" s="8"/>
    </row>
    <row r="31" spans="2:12" x14ac:dyDescent="0.25">
      <c r="B31" s="7"/>
      <c r="I31" s="3" t="s">
        <v>9</v>
      </c>
      <c r="J31" s="37">
        <f>+J5</f>
        <v>46082</v>
      </c>
      <c r="K31" s="3" t="s">
        <v>10</v>
      </c>
      <c r="L31" s="38">
        <f>+L5</f>
        <v>46096</v>
      </c>
    </row>
    <row r="32" spans="2:12" x14ac:dyDescent="0.25">
      <c r="B32" s="7"/>
      <c r="C32" s="14" t="s">
        <v>0</v>
      </c>
      <c r="L32" s="8"/>
    </row>
    <row r="33" spans="2:12" x14ac:dyDescent="0.25">
      <c r="B33" s="7"/>
      <c r="C33" s="3" t="s">
        <v>1</v>
      </c>
      <c r="D33" s="3">
        <f>+D7</f>
        <v>0</v>
      </c>
      <c r="E33" s="42" t="s">
        <v>2</v>
      </c>
      <c r="F33" s="42"/>
      <c r="G33" s="63" t="str">
        <f>+G7</f>
        <v>YUDITH ALEJANDRA ROMERO</v>
      </c>
      <c r="H33" s="63"/>
      <c r="I33" s="3" t="s">
        <v>3</v>
      </c>
      <c r="J33" s="43">
        <f>+J7</f>
        <v>20665919</v>
      </c>
      <c r="K33" s="43"/>
      <c r="L33" s="8"/>
    </row>
    <row r="34" spans="2:12" x14ac:dyDescent="0.25">
      <c r="B34" s="7"/>
      <c r="C34" s="3" t="s">
        <v>4</v>
      </c>
      <c r="D34" s="3">
        <f>+D8</f>
        <v>120000</v>
      </c>
      <c r="E34" s="42" t="s">
        <v>5</v>
      </c>
      <c r="F34" s="42"/>
      <c r="G34" s="3">
        <f>+G8</f>
        <v>0</v>
      </c>
      <c r="H34" s="3"/>
      <c r="I34" s="3"/>
      <c r="L34" s="8"/>
    </row>
    <row r="35" spans="2:12" x14ac:dyDescent="0.25">
      <c r="B35" s="7"/>
      <c r="C35" s="3"/>
      <c r="D35" s="3"/>
      <c r="E35" s="42" t="s">
        <v>6</v>
      </c>
      <c r="F35" s="42"/>
      <c r="G35" s="3">
        <f>+G9</f>
        <v>0</v>
      </c>
      <c r="H35" s="3"/>
      <c r="I35" s="3" t="s">
        <v>7</v>
      </c>
      <c r="J35" s="43">
        <f>+J9</f>
        <v>0</v>
      </c>
      <c r="K35" s="43"/>
      <c r="L35" s="54"/>
    </row>
    <row r="36" spans="2:12" ht="15.75" thickBot="1" x14ac:dyDescent="0.3">
      <c r="B36" s="7"/>
      <c r="L36" s="8"/>
    </row>
    <row r="37" spans="2:12" ht="24.95" customHeight="1" thickBot="1" x14ac:dyDescent="0.3">
      <c r="B37" s="7"/>
      <c r="C37" s="41" t="s">
        <v>11</v>
      </c>
      <c r="D37" s="41"/>
      <c r="E37" s="41"/>
      <c r="F37" s="41"/>
      <c r="G37" s="48" t="s">
        <v>12</v>
      </c>
      <c r="H37" s="48"/>
      <c r="I37" s="48" t="s">
        <v>13</v>
      </c>
      <c r="J37" s="48"/>
      <c r="K37" s="48" t="s">
        <v>14</v>
      </c>
      <c r="L37" s="49"/>
    </row>
    <row r="38" spans="2:12" x14ac:dyDescent="0.25">
      <c r="B38" s="7"/>
      <c r="C38" s="43" t="s">
        <v>15</v>
      </c>
      <c r="D38" s="43"/>
      <c r="E38" s="43"/>
      <c r="F38" s="43"/>
      <c r="G38" s="15">
        <f>+G12</f>
        <v>11</v>
      </c>
      <c r="H38" s="15" t="str">
        <f>+H12</f>
        <v>DIAS</v>
      </c>
      <c r="I38" s="51">
        <f>+I12</f>
        <v>0</v>
      </c>
      <c r="J38" s="51"/>
      <c r="K38" s="51">
        <f>+K12</f>
        <v>0</v>
      </c>
      <c r="L38" s="61"/>
    </row>
    <row r="39" spans="2:12" x14ac:dyDescent="0.25">
      <c r="B39" s="7"/>
      <c r="C39" s="43" t="s">
        <v>16</v>
      </c>
      <c r="D39" s="43"/>
      <c r="E39" s="43"/>
      <c r="F39" s="43"/>
      <c r="G39" s="17">
        <f>+G13</f>
        <v>4</v>
      </c>
      <c r="H39" s="16" t="str">
        <f>+H13</f>
        <v>DIAS</v>
      </c>
      <c r="I39" s="50">
        <f t="shared" ref="I39:I44" si="0">+I13</f>
        <v>0</v>
      </c>
      <c r="J39" s="50"/>
      <c r="K39" s="50">
        <f>+K13</f>
        <v>0</v>
      </c>
      <c r="L39" s="60"/>
    </row>
    <row r="40" spans="2:12" x14ac:dyDescent="0.25">
      <c r="B40" s="7"/>
      <c r="C40" s="43" t="s">
        <v>17</v>
      </c>
      <c r="D40" s="43"/>
      <c r="E40" s="43"/>
      <c r="F40" s="43"/>
      <c r="G40" s="16"/>
      <c r="H40" s="16"/>
      <c r="I40" s="50">
        <f t="shared" si="0"/>
        <v>0</v>
      </c>
      <c r="J40" s="50"/>
      <c r="K40" s="50">
        <f t="shared" ref="K40:K44" si="1">+K14</f>
        <v>0</v>
      </c>
      <c r="L40" s="60"/>
    </row>
    <row r="41" spans="2:12" x14ac:dyDescent="0.25">
      <c r="B41" s="7"/>
      <c r="C41" s="43" t="s">
        <v>53</v>
      </c>
      <c r="D41" s="43"/>
      <c r="E41" s="43"/>
      <c r="F41" s="43"/>
      <c r="G41" s="44" t="str">
        <f>+G15</f>
        <v>2 Lunes</v>
      </c>
      <c r="H41" s="44"/>
      <c r="I41" s="50">
        <f t="shared" si="0"/>
        <v>0</v>
      </c>
      <c r="J41" s="50"/>
      <c r="K41" s="50">
        <f t="shared" si="1"/>
        <v>0</v>
      </c>
      <c r="L41" s="60"/>
    </row>
    <row r="42" spans="2:12" x14ac:dyDescent="0.25">
      <c r="B42" s="7"/>
      <c r="C42" s="43" t="s">
        <v>19</v>
      </c>
      <c r="D42" s="43"/>
      <c r="E42" s="43"/>
      <c r="F42" s="43"/>
      <c r="G42" s="44" t="str">
        <f>+G16</f>
        <v>2 Lunes</v>
      </c>
      <c r="H42" s="44"/>
      <c r="I42" s="50">
        <f t="shared" si="0"/>
        <v>0</v>
      </c>
      <c r="J42" s="50"/>
      <c r="K42" s="50">
        <f t="shared" si="1"/>
        <v>0</v>
      </c>
      <c r="L42" s="60"/>
    </row>
    <row r="43" spans="2:12" x14ac:dyDescent="0.25">
      <c r="B43" s="7"/>
      <c r="C43" s="43" t="s">
        <v>20</v>
      </c>
      <c r="D43" s="43"/>
      <c r="E43" s="43"/>
      <c r="F43" s="43"/>
      <c r="G43" s="44" t="str">
        <f>+G17</f>
        <v>1.00%</v>
      </c>
      <c r="H43" s="44"/>
      <c r="I43" s="50">
        <f t="shared" si="0"/>
        <v>0</v>
      </c>
      <c r="J43" s="50"/>
      <c r="K43" s="50">
        <f t="shared" si="1"/>
        <v>0</v>
      </c>
      <c r="L43" s="60"/>
    </row>
    <row r="44" spans="2:12" x14ac:dyDescent="0.25">
      <c r="B44" s="7"/>
      <c r="C44" s="43" t="s">
        <v>21</v>
      </c>
      <c r="D44" s="43"/>
      <c r="E44" s="43"/>
      <c r="F44" s="43"/>
      <c r="G44" s="44" t="str">
        <f>+G18</f>
        <v>2.35%</v>
      </c>
      <c r="H44" s="44"/>
      <c r="I44" s="50">
        <f t="shared" si="0"/>
        <v>0</v>
      </c>
      <c r="J44" s="50"/>
      <c r="K44" s="50">
        <f t="shared" si="1"/>
        <v>0</v>
      </c>
      <c r="L44" s="60"/>
    </row>
    <row r="45" spans="2:12" x14ac:dyDescent="0.25">
      <c r="B45" s="7"/>
      <c r="C45" s="43"/>
      <c r="D45" s="43"/>
      <c r="E45" s="43"/>
      <c r="F45" s="43"/>
      <c r="G45" s="44"/>
      <c r="H45" s="44"/>
      <c r="I45" s="50"/>
      <c r="J45" s="50"/>
      <c r="K45" s="50"/>
      <c r="L45" s="60"/>
    </row>
    <row r="46" spans="2:12" x14ac:dyDescent="0.25">
      <c r="B46" s="7"/>
      <c r="C46" s="43"/>
      <c r="D46" s="43"/>
      <c r="E46" s="43"/>
      <c r="F46" s="43"/>
      <c r="G46" s="44"/>
      <c r="H46" s="44"/>
      <c r="I46" s="50"/>
      <c r="J46" s="50"/>
      <c r="K46" s="50"/>
      <c r="L46" s="60"/>
    </row>
    <row r="47" spans="2:12" ht="15.75" thickBot="1" x14ac:dyDescent="0.3">
      <c r="B47" s="7"/>
      <c r="C47" s="43"/>
      <c r="D47" s="43"/>
      <c r="E47" s="43"/>
      <c r="F47" s="43"/>
      <c r="G47" s="44"/>
      <c r="H47" s="44"/>
      <c r="I47" s="50"/>
      <c r="J47" s="50"/>
      <c r="K47" s="55"/>
      <c r="L47" s="56"/>
    </row>
    <row r="48" spans="2:12" x14ac:dyDescent="0.25">
      <c r="B48" s="7"/>
      <c r="C48" s="1"/>
      <c r="D48" s="1"/>
      <c r="E48" s="1"/>
      <c r="F48" s="1"/>
      <c r="G48" s="57" t="s">
        <v>22</v>
      </c>
      <c r="H48" s="57"/>
      <c r="I48" s="58">
        <f>SUM(I38:J47)</f>
        <v>0</v>
      </c>
      <c r="J48" s="58"/>
      <c r="K48" s="58">
        <f>SUM(K38:L47)</f>
        <v>0</v>
      </c>
      <c r="L48" s="59"/>
    </row>
    <row r="49" spans="2:12" x14ac:dyDescent="0.25">
      <c r="B49" s="7"/>
      <c r="L49" s="8"/>
    </row>
    <row r="50" spans="2:12" ht="15.75" x14ac:dyDescent="0.25">
      <c r="B50" s="7"/>
      <c r="C50" s="3" t="s">
        <v>27</v>
      </c>
      <c r="I50" s="45" t="s">
        <v>23</v>
      </c>
      <c r="J50" s="45"/>
      <c r="K50" s="46">
        <f>+I48-K48</f>
        <v>0</v>
      </c>
      <c r="L50" s="47"/>
    </row>
    <row r="51" spans="2:12" x14ac:dyDescent="0.25">
      <c r="B51" s="7"/>
      <c r="C51" s="3" t="s">
        <v>24</v>
      </c>
      <c r="L51" s="8"/>
    </row>
    <row r="52" spans="2:12" x14ac:dyDescent="0.25"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2" t="s">
        <v>26</v>
      </c>
    </row>
  </sheetData>
  <mergeCells count="106">
    <mergeCell ref="G48:H48"/>
    <mergeCell ref="I48:J48"/>
    <mergeCell ref="K48:L48"/>
    <mergeCell ref="I50:J50"/>
    <mergeCell ref="K50:L50"/>
    <mergeCell ref="C46:F46"/>
    <mergeCell ref="G46:H46"/>
    <mergeCell ref="I46:J46"/>
    <mergeCell ref="K46:L46"/>
    <mergeCell ref="C47:F47"/>
    <mergeCell ref="G47:H47"/>
    <mergeCell ref="I47:J47"/>
    <mergeCell ref="K47:L47"/>
    <mergeCell ref="C44:F44"/>
    <mergeCell ref="G44:H44"/>
    <mergeCell ref="I44:J44"/>
    <mergeCell ref="K44:L44"/>
    <mergeCell ref="C45:F45"/>
    <mergeCell ref="G45:H45"/>
    <mergeCell ref="I45:J45"/>
    <mergeCell ref="K45:L45"/>
    <mergeCell ref="C42:F42"/>
    <mergeCell ref="G42:H42"/>
    <mergeCell ref="I42:J42"/>
    <mergeCell ref="K42:L42"/>
    <mergeCell ref="C43:F43"/>
    <mergeCell ref="G43:H43"/>
    <mergeCell ref="I43:J43"/>
    <mergeCell ref="K43:L43"/>
    <mergeCell ref="C40:F40"/>
    <mergeCell ref="I40:J40"/>
    <mergeCell ref="K40:L40"/>
    <mergeCell ref="C41:F41"/>
    <mergeCell ref="G41:H41"/>
    <mergeCell ref="I41:J41"/>
    <mergeCell ref="K41:L41"/>
    <mergeCell ref="C38:F38"/>
    <mergeCell ref="I38:J38"/>
    <mergeCell ref="K38:L38"/>
    <mergeCell ref="C39:F39"/>
    <mergeCell ref="I39:J39"/>
    <mergeCell ref="K39:L39"/>
    <mergeCell ref="E34:F34"/>
    <mergeCell ref="E35:F35"/>
    <mergeCell ref="J35:L35"/>
    <mergeCell ref="G37:H37"/>
    <mergeCell ref="I37:J37"/>
    <mergeCell ref="K37:L37"/>
    <mergeCell ref="I24:J24"/>
    <mergeCell ref="K24:L24"/>
    <mergeCell ref="K29:L29"/>
    <mergeCell ref="E33:F33"/>
    <mergeCell ref="G33:H33"/>
    <mergeCell ref="J33:K33"/>
    <mergeCell ref="C21:F21"/>
    <mergeCell ref="G21:H21"/>
    <mergeCell ref="I21:J21"/>
    <mergeCell ref="K21:L21"/>
    <mergeCell ref="G22:H22"/>
    <mergeCell ref="I22:J22"/>
    <mergeCell ref="K22:L22"/>
    <mergeCell ref="C19:F19"/>
    <mergeCell ref="G19:H19"/>
    <mergeCell ref="I19:J19"/>
    <mergeCell ref="K19:L19"/>
    <mergeCell ref="C20:F20"/>
    <mergeCell ref="G20:H20"/>
    <mergeCell ref="I20:J20"/>
    <mergeCell ref="K20:L20"/>
    <mergeCell ref="C17:F17"/>
    <mergeCell ref="G17:H17"/>
    <mergeCell ref="I17:J17"/>
    <mergeCell ref="K17:L17"/>
    <mergeCell ref="C18:F18"/>
    <mergeCell ref="G18:H18"/>
    <mergeCell ref="I18:J18"/>
    <mergeCell ref="K18:L18"/>
    <mergeCell ref="C15:F15"/>
    <mergeCell ref="G15:H15"/>
    <mergeCell ref="I15:J15"/>
    <mergeCell ref="K15:L15"/>
    <mergeCell ref="C16:F16"/>
    <mergeCell ref="G16:H16"/>
    <mergeCell ref="I16:J16"/>
    <mergeCell ref="K16:L16"/>
    <mergeCell ref="C14:F14"/>
    <mergeCell ref="G14:H14"/>
    <mergeCell ref="I14:J14"/>
    <mergeCell ref="K14:L14"/>
    <mergeCell ref="E9:F9"/>
    <mergeCell ref="J9:L9"/>
    <mergeCell ref="G11:H11"/>
    <mergeCell ref="I11:J11"/>
    <mergeCell ref="K11:L11"/>
    <mergeCell ref="C12:F12"/>
    <mergeCell ref="I12:J12"/>
    <mergeCell ref="K12:L12"/>
    <mergeCell ref="K3:L3"/>
    <mergeCell ref="N3:O3"/>
    <mergeCell ref="E7:F7"/>
    <mergeCell ref="G7:H7"/>
    <mergeCell ref="J7:K7"/>
    <mergeCell ref="E8:F8"/>
    <mergeCell ref="C13:F13"/>
    <mergeCell ref="I13:J13"/>
    <mergeCell ref="K13:L13"/>
  </mergeCells>
  <printOptions horizontalCentered="1" verticalCentered="1"/>
  <pageMargins left="0.19685039370078741" right="0.15748031496062992" top="0.19685039370078741" bottom="0.19685039370078741" header="0.15748031496062992" footer="0.15748031496062992"/>
  <pageSetup scale="75" orientation="landscape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517F-A412-4769-9C53-2F39F9203012}">
  <dimension ref="A1:H32"/>
  <sheetViews>
    <sheetView showGridLines="0" zoomScaleNormal="100" workbookViewId="0">
      <selection activeCell="A10" sqref="A10"/>
    </sheetView>
  </sheetViews>
  <sheetFormatPr baseColWidth="10" defaultRowHeight="15" x14ac:dyDescent="0.25"/>
  <cols>
    <col min="1" max="2" width="29.7109375" customWidth="1"/>
    <col min="3" max="4" width="13.7109375" customWidth="1"/>
    <col min="5" max="5" width="15" customWidth="1"/>
    <col min="6" max="6" width="13.7109375" customWidth="1"/>
    <col min="7" max="7" width="21.42578125" customWidth="1"/>
    <col min="8" max="8" width="11.85546875" bestFit="1" customWidth="1"/>
  </cols>
  <sheetData>
    <row r="1" spans="1:8" ht="15" customHeight="1" x14ac:dyDescent="0.25">
      <c r="A1" s="33"/>
      <c r="B1" s="33"/>
      <c r="C1" s="65" t="s">
        <v>51</v>
      </c>
      <c r="D1" s="65"/>
      <c r="E1" s="65"/>
      <c r="F1" s="65"/>
    </row>
    <row r="2" spans="1:8" ht="15" customHeight="1" x14ac:dyDescent="0.25">
      <c r="A2" s="33"/>
      <c r="B2" s="33"/>
      <c r="C2" s="65"/>
      <c r="D2" s="65"/>
      <c r="E2" s="65"/>
      <c r="F2" s="65"/>
    </row>
    <row r="3" spans="1:8" ht="15" customHeight="1" x14ac:dyDescent="0.25">
      <c r="A3" s="33"/>
      <c r="B3" s="33"/>
      <c r="C3" s="65"/>
      <c r="D3" s="65"/>
      <c r="E3" s="65"/>
      <c r="F3" s="65"/>
    </row>
    <row r="4" spans="1:8" ht="15" customHeight="1" x14ac:dyDescent="0.25">
      <c r="A4" s="33"/>
      <c r="B4" s="33"/>
      <c r="C4" s="65"/>
      <c r="D4" s="65"/>
      <c r="E4" s="65"/>
      <c r="F4" s="65"/>
    </row>
    <row r="5" spans="1:8" ht="15" customHeight="1" x14ac:dyDescent="0.25">
      <c r="A5" s="33"/>
      <c r="B5" s="33"/>
      <c r="C5" s="65"/>
      <c r="D5" s="65"/>
      <c r="E5" s="65"/>
      <c r="F5" s="65"/>
      <c r="G5" s="19"/>
    </row>
    <row r="6" spans="1:8" ht="15" customHeight="1" thickBot="1" x14ac:dyDescent="0.3">
      <c r="A6" s="33"/>
      <c r="B6" s="33"/>
      <c r="C6" s="65"/>
      <c r="D6" s="65"/>
      <c r="E6" s="65"/>
      <c r="F6" s="65"/>
      <c r="G6" s="19"/>
    </row>
    <row r="7" spans="1:8" ht="20.100000000000001" customHeight="1" thickBot="1" x14ac:dyDescent="0.3">
      <c r="A7" s="33"/>
      <c r="B7" s="33"/>
      <c r="C7" s="65"/>
      <c r="D7" s="65"/>
      <c r="E7" s="65"/>
      <c r="F7" s="65"/>
      <c r="G7" s="35" t="s">
        <v>50</v>
      </c>
      <c r="H7" s="36">
        <f ca="1">TODAY()</f>
        <v>46309</v>
      </c>
    </row>
    <row r="8" spans="1:8" ht="20.100000000000001" customHeight="1" thickBot="1" x14ac:dyDescent="0.3">
      <c r="A8" s="34"/>
      <c r="B8" s="34"/>
      <c r="C8" s="66"/>
      <c r="D8" s="66"/>
      <c r="E8" s="66"/>
      <c r="F8" s="66"/>
      <c r="G8" s="67">
        <v>499.61529999999999</v>
      </c>
      <c r="H8" s="68"/>
    </row>
    <row r="9" spans="1:8" s="22" customFormat="1" ht="31.5" x14ac:dyDescent="0.25">
      <c r="A9" s="20" t="s">
        <v>33</v>
      </c>
      <c r="B9" s="20" t="s">
        <v>52</v>
      </c>
      <c r="C9" s="20" t="s">
        <v>34</v>
      </c>
      <c r="D9" s="20" t="s">
        <v>35</v>
      </c>
      <c r="E9" s="20" t="s">
        <v>36</v>
      </c>
      <c r="F9" s="21" t="s">
        <v>37</v>
      </c>
      <c r="G9" s="21" t="s">
        <v>38</v>
      </c>
    </row>
    <row r="10" spans="1:8" x14ac:dyDescent="0.25">
      <c r="A10" s="23" t="s">
        <v>39</v>
      </c>
      <c r="B10" s="39">
        <v>18531909</v>
      </c>
      <c r="C10" s="24">
        <v>500</v>
      </c>
      <c r="D10" s="24">
        <f>+C10/30</f>
        <v>16.666666666666668</v>
      </c>
      <c r="E10" s="24"/>
      <c r="F10" s="25"/>
      <c r="G10" s="25">
        <f>+(C10/2)-NOMINA567[[#This Row],[PRESTAMOS DEL MES]]</f>
        <v>250</v>
      </c>
    </row>
    <row r="11" spans="1:8" x14ac:dyDescent="0.25">
      <c r="A11" s="23" t="s">
        <v>40</v>
      </c>
      <c r="B11" s="39">
        <v>25451018</v>
      </c>
      <c r="C11" s="24">
        <v>500</v>
      </c>
      <c r="D11" s="24">
        <f t="shared" ref="D11:D21" si="0">+C11/30</f>
        <v>16.666666666666668</v>
      </c>
      <c r="E11" s="24"/>
      <c r="F11" s="25"/>
      <c r="G11" s="25">
        <f>+(C11/2)-NOMINA567[[#This Row],[PRESTAMOS DEL MES]]</f>
        <v>250</v>
      </c>
    </row>
    <row r="12" spans="1:8" x14ac:dyDescent="0.25">
      <c r="A12" s="23" t="s">
        <v>41</v>
      </c>
      <c r="B12" s="39">
        <v>9820585</v>
      </c>
      <c r="C12" s="24">
        <v>700</v>
      </c>
      <c r="D12" s="24">
        <f t="shared" si="0"/>
        <v>23.333333333333332</v>
      </c>
      <c r="E12" s="24"/>
      <c r="F12" s="25"/>
      <c r="G12" s="25">
        <f>+(C12/2)-NOMINA567[[#This Row],[PRESTAMOS DEL MES]]</f>
        <v>350</v>
      </c>
    </row>
    <row r="13" spans="1:8" x14ac:dyDescent="0.25">
      <c r="A13" s="23" t="s">
        <v>42</v>
      </c>
      <c r="B13" s="39">
        <v>17458419</v>
      </c>
      <c r="C13" s="24">
        <v>400</v>
      </c>
      <c r="D13" s="24">
        <f t="shared" si="0"/>
        <v>13.333333333333334</v>
      </c>
      <c r="E13" s="24"/>
      <c r="F13" s="25"/>
      <c r="G13" s="25">
        <f>+(C13/2)-NOMINA567[[#This Row],[PRESTAMOS DEL MES]]</f>
        <v>200</v>
      </c>
    </row>
    <row r="14" spans="1:8" x14ac:dyDescent="0.25">
      <c r="A14" s="23" t="s">
        <v>43</v>
      </c>
      <c r="B14" s="39">
        <v>9901781</v>
      </c>
      <c r="C14" s="24">
        <v>400</v>
      </c>
      <c r="D14" s="24">
        <f t="shared" si="0"/>
        <v>13.333333333333334</v>
      </c>
      <c r="E14" s="24"/>
      <c r="F14" s="25"/>
      <c r="G14" s="25">
        <f>+(C14/2)-NOMINA567[[#This Row],[PRESTAMOS DEL MES]]</f>
        <v>200</v>
      </c>
    </row>
    <row r="15" spans="1:8" x14ac:dyDescent="0.25">
      <c r="A15" s="23" t="s">
        <v>54</v>
      </c>
      <c r="B15" s="39">
        <v>20665919</v>
      </c>
      <c r="C15" s="24">
        <v>500</v>
      </c>
      <c r="D15" s="24">
        <f t="shared" si="0"/>
        <v>16.666666666666668</v>
      </c>
      <c r="E15" s="24"/>
      <c r="F15" s="25"/>
      <c r="G15" s="25">
        <f>+(C15/2)-NOMINA567[[#This Row],[PRESTAMOS DEL MES]]</f>
        <v>250</v>
      </c>
    </row>
    <row r="16" spans="1:8" x14ac:dyDescent="0.25">
      <c r="A16" s="23" t="s">
        <v>44</v>
      </c>
      <c r="B16" s="39">
        <v>4626273</v>
      </c>
      <c r="C16" s="24">
        <v>300</v>
      </c>
      <c r="D16" s="24">
        <f t="shared" si="0"/>
        <v>10</v>
      </c>
      <c r="E16" s="24"/>
      <c r="F16" s="25"/>
      <c r="G16" s="25">
        <f>+(C16/2)-NOMINA567[[#This Row],[PRESTAMOS DEL MES]]</f>
        <v>150</v>
      </c>
    </row>
    <row r="17" spans="1:8" x14ac:dyDescent="0.25">
      <c r="A17" s="23" t="s">
        <v>45</v>
      </c>
      <c r="B17" s="39">
        <v>12338408</v>
      </c>
      <c r="C17" s="24">
        <v>200</v>
      </c>
      <c r="D17" s="24">
        <f t="shared" si="0"/>
        <v>6.666666666666667</v>
      </c>
      <c r="E17" s="24"/>
      <c r="F17" s="25"/>
      <c r="G17" s="25">
        <f>+(C17/2)-NOMINA567[[#This Row],[PRESTAMOS DEL MES]]</f>
        <v>100</v>
      </c>
    </row>
    <row r="18" spans="1:8" x14ac:dyDescent="0.25">
      <c r="A18" s="23" t="s">
        <v>46</v>
      </c>
      <c r="B18" s="39">
        <v>11420086</v>
      </c>
      <c r="C18" s="24">
        <v>240</v>
      </c>
      <c r="D18" s="24">
        <f t="shared" si="0"/>
        <v>8</v>
      </c>
      <c r="E18" s="24"/>
      <c r="F18" s="25"/>
      <c r="G18" s="25">
        <f>+(C18/2)-NOMINA567[[#This Row],[PRESTAMOS DEL MES]]</f>
        <v>120</v>
      </c>
    </row>
    <row r="19" spans="1:8" x14ac:dyDescent="0.25">
      <c r="A19" s="23" t="s">
        <v>47</v>
      </c>
      <c r="B19" s="39">
        <v>12668575</v>
      </c>
      <c r="C19" s="24">
        <v>200</v>
      </c>
      <c r="D19" s="24">
        <f t="shared" si="0"/>
        <v>6.666666666666667</v>
      </c>
      <c r="E19" s="24"/>
      <c r="F19" s="25"/>
      <c r="G19" s="25">
        <f>+(C19/2)-NOMINA567[[#This Row],[PRESTAMOS DEL MES]]</f>
        <v>100</v>
      </c>
    </row>
    <row r="20" spans="1:8" x14ac:dyDescent="0.25">
      <c r="A20" s="23" t="s">
        <v>48</v>
      </c>
      <c r="B20" s="39">
        <v>17555818</v>
      </c>
      <c r="C20" s="24">
        <f>IFERROR(VLOOKUP(A20,[1]!EMPLEADOS[#Data],5,FALSE),"NO EXISTE")</f>
        <v>250</v>
      </c>
      <c r="D20" s="24">
        <f>+C20/30</f>
        <v>8.3333333333333339</v>
      </c>
      <c r="E20" s="24"/>
      <c r="F20" s="25"/>
      <c r="G20" s="25">
        <f>+(C20/2)-NOMINA567[[#This Row],[PRESTAMOS DEL MES]]</f>
        <v>125</v>
      </c>
    </row>
    <row r="21" spans="1:8" ht="15.75" thickBot="1" x14ac:dyDescent="0.3">
      <c r="A21" s="23" t="s">
        <v>49</v>
      </c>
      <c r="B21" s="39">
        <v>8634386</v>
      </c>
      <c r="C21" s="24">
        <v>1000</v>
      </c>
      <c r="D21" s="24">
        <f t="shared" si="0"/>
        <v>33.333333333333336</v>
      </c>
      <c r="E21" s="24"/>
      <c r="F21" s="24"/>
      <c r="G21" s="26">
        <f>+(C21/2)-NOMINA567[[#This Row],[PRESTAMOS DEL MES]]</f>
        <v>500</v>
      </c>
    </row>
    <row r="22" spans="1:8" ht="18.75" x14ac:dyDescent="0.3">
      <c r="A22" s="27"/>
      <c r="B22" s="27"/>
      <c r="C22" s="28"/>
      <c r="D22" s="29"/>
      <c r="E22" s="30"/>
      <c r="F22" s="30">
        <f>SUBTOTAL(109,NOMINA567[PRESTAMOS DEL MES])</f>
        <v>0</v>
      </c>
      <c r="G22" s="31">
        <f>SUBTOTAL(109,NOMINA567[TOTAL PAGADO])</f>
        <v>2595</v>
      </c>
    </row>
    <row r="27" spans="1:8" x14ac:dyDescent="0.25">
      <c r="H27" s="32"/>
    </row>
    <row r="28" spans="1:8" x14ac:dyDescent="0.25">
      <c r="H28" s="32"/>
    </row>
    <row r="29" spans="1:8" x14ac:dyDescent="0.25">
      <c r="H29" s="32"/>
    </row>
    <row r="30" spans="1:8" x14ac:dyDescent="0.25">
      <c r="H30" s="32"/>
    </row>
    <row r="31" spans="1:8" x14ac:dyDescent="0.25">
      <c r="H31" s="32"/>
    </row>
    <row r="32" spans="1:8" x14ac:dyDescent="0.25">
      <c r="H32" s="32"/>
    </row>
  </sheetData>
  <mergeCells count="2">
    <mergeCell ref="C1:F8"/>
    <mergeCell ref="G8:H8"/>
  </mergeCells>
  <printOptions horizontalCentered="1" verticalCentered="1"/>
  <pageMargins left="0.11811023622047245" right="0.11811023622047245" top="0.74803149606299213" bottom="0.74803149606299213" header="0.31496062992125984" footer="0.31496062992125984"/>
  <pageSetup scale="75" orientation="landscape" verticalDpi="36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2F13FC-7E72-46CB-8196-76A895DB1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RECIBO VICTOR ROMAN</vt:lpstr>
      <vt:lpstr>RECIBO YUDITH ALEJANDRA</vt:lpstr>
      <vt:lpstr>BASE DE DATOS</vt:lpstr>
      <vt:lpstr>'BASE DE DATOS'!Área_de_impresión</vt:lpstr>
      <vt:lpstr>'RECIBO VICTOR ROMAN'!Área_de_impresión</vt:lpstr>
      <vt:lpstr>'RECIBO YUDITH ALEJANDRA'!Área_de_impresión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ATLANTIS DELTA</dc:creator>
  <cp:lastModifiedBy>PC PC</cp:lastModifiedBy>
  <cp:lastPrinted>2026-03-04T18:28:33Z</cp:lastPrinted>
  <dcterms:created xsi:type="dcterms:W3CDTF">2026-03-04T15:49:28Z</dcterms:created>
  <dcterms:modified xsi:type="dcterms:W3CDTF">2026-10-14T13:31:35Z</dcterms:modified>
</cp:coreProperties>
</file>